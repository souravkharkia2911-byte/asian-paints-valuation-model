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Historicals" sheetId="2" state="visible" r:id="rId4"/>
    <sheet name="Assumptions" sheetId="3" state="visible" r:id="rId5"/>
    <sheet name="Forecast" sheetId="4" state="visible" r:id="rId6"/>
    <sheet name="DCF Valuation" sheetId="5" state="visible" r:id="rId7"/>
    <sheet name="Sensitivity" sheetId="6" state="visible" r:id="rId8"/>
    <sheet name="Comps" sheetId="7" state="visible" r:id="rId9"/>
    <sheet name="Summar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<sst xmlns="http://schemas.openxmlformats.org/spreadsheetml/2006/main" count="203" uniqueCount="175">
  <si>
    <t xml:space="preserve">Equity Research &amp; Valuation of Asian Paints Ltd.</t>
  </si>
  <si>
    <t xml:space="preserve">Project period: January 2026 – February 2026</t>
  </si>
  <si>
    <t xml:space="preserve">OBJECTIVE</t>
  </si>
  <si>
    <t xml:space="preserve">Determine the intrinsic value of Asian Paints Ltd (NSE: ASIANPAINT) using a Discounted Cash Flow (DCF)</t>
  </si>
  <si>
    <t xml:space="preserve">model and a Comparable Company Analysis, and assess whether the stock is fairly valued relative to its</t>
  </si>
  <si>
    <t xml:space="preserve">January 2026 market price.</t>
  </si>
  <si>
    <t xml:space="preserve">HOW TO USE THIS WORKBOOK</t>
  </si>
  <si>
    <t xml:space="preserve">1. Historical Financials  - 5-year (FY2021-FY2025) actuals sourced from company filings, as compiled by Screener.in.</t>
  </si>
  <si>
    <t xml:space="preserve">2. Assumptions            - All forecast drivers (growth, margins, WACC, terminal growth). Blue text = editable input.</t>
  </si>
  <si>
    <t xml:space="preserve">3. 3-Statement Forecast   - FY2026E-FY2030E income statement, simplified balance sheet and cash flow, driven by Assumptions.</t>
  </si>
  <si>
    <t xml:space="preserve">4. DCF Valuation          - Free cash flow to firm, discounted at WACC, plus Gordon Growth terminal value.</t>
  </si>
  <si>
    <t xml:space="preserve">5. Sensitivity Analysis   - Value per share across a WACC x Terminal Growth grid.</t>
  </si>
  <si>
    <t xml:space="preserve">6. Comparable Companies   - Peer trading multiples (Berger Paints, Kansai Nerolac) applied to Asian Paints' FY25 financials.</t>
  </si>
  <si>
    <t xml:space="preserve">7. Valuation Summary      - DCF and comps outputs reconciled into a final recommendation.</t>
  </si>
  <si>
    <t xml:space="preserve">DATA SOURCES</t>
  </si>
  <si>
    <t xml:space="preserve">- Historical P&amp;L, balance sheet and cash flow (FY2021-FY2025, consolidated): Screener.in, compiled from company annual reports / BSE filings.</t>
  </si>
  <si>
    <t xml:space="preserve">  https://www.screener.in/company/ASIANPAINT/consolidated/</t>
  </si>
  <si>
    <t xml:space="preserve">- Peer financials (Berger Paints, Kansai Nerolac): Screener.in company pages.</t>
  </si>
  <si>
    <t xml:space="preserve">- Market price and shares outstanding: Screener.in (data as of late-May 2026, used as a proxy for the January 2026 valuation date).</t>
  </si>
  <si>
    <t xml:space="preserve">KEY ASSUMPTIONS (all editable in the Assumptions tab)</t>
  </si>
  <si>
    <t xml:space="preserve">- Revenue growth: 2% (FY26E) ramping to 7% (FY29E-FY30E), reflecting near-term competitive pressure (Birla Opus entry into</t>
  </si>
  <si>
    <t xml:space="preserve">  decorative paints) followed by gradual demand recovery. This is an analyst judgment call, not a company guidance figure.</t>
  </si>
  <si>
    <t xml:space="preserve">- EBITDA margin: recovers from ~18% (FY25 actual) to 19% by FY30E as cost actions offset competitive pricing pressure.</t>
  </si>
  <si>
    <t xml:space="preserve">- WACC: built up from CAPM (risk-free rate, equity beta, equity risk premium) and FY25 capital structure - see Assumptions tab.</t>
  </si>
  <si>
    <t xml:space="preserve">- Terminal growth: 5.0%, in line with long-run nominal GDP growth expectations for India.</t>
  </si>
  <si>
    <t xml:space="preserve">LIMITATIONS</t>
  </si>
  <si>
    <t xml:space="preserve">This model was built as a personal / academic equity research exercise. Forecast assumptions are illustrative judgment</t>
  </si>
  <si>
    <t xml:space="preserve">calls, not equity research coverage or investment advice. Figures are sourced from public secondary data (Screener.in) rather</t>
  </si>
  <si>
    <t xml:space="preserve">than primary company filings line-by-line, so minor reclassification differences vs. the audited financial statements are possible.</t>
  </si>
  <si>
    <t xml:space="preserve">Asian Paints Ltd - Historical Financials (Consolidated, Rs. Crore)</t>
  </si>
  <si>
    <t xml:space="preserve">Source: Screener.in, compiled from company annual reports / BSE filings</t>
  </si>
  <si>
    <t xml:space="preserve">Rs. Crore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</si>
  <si>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</si>
  <si>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</si>
  <si>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</si>
  <si>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</si>
  <si>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</si>
  <si>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Net Sales</t>
  </si>
  <si>
    <t xml:space="preserve">Total Expenses</t>
  </si>
  <si>
    <t xml:space="preserve">EBITDA (Operating Profit)</t>
  </si>
  <si>
    <t xml:space="preserve">EBITDA Margin %</t>
  </si>
  <si>
    <t xml:space="preserve">Other Income</t>
  </si>
  <si>
    <t xml:space="preserve">Interest Expense</t>
  </si>
  <si>
    <t xml:space="preserve">Depreciation &amp; Amortization</t>
  </si>
  <si>
    <t xml:space="preserve">Profit Before Tax</t>
  </si>
  <si>
    <t xml:space="preserve">Tax Rate %</t>
  </si>
  <si>
    <t xml:space="preserve">Net Profit (PAT)</t>
  </si>
  <si>
    <t xml:space="preserve">Reported EPS (Rs.)</t>
  </si>
  <si>
    <t xml:space="preserve">Balance Sheet</t>
  </si>
  <si>
    <t xml:space="preserve">Equity Share Capital</t>
  </si>
  <si>
    <t xml:space="preserve">Reserves &amp; Surplus</t>
  </si>
  <si>
    <t xml:space="preserve">Total Net Worth</t>
  </si>
  <si>
    <t xml:space="preserve">Borrowings</t>
  </si>
  <si>
    <t xml:space="preserve">Other Liabilities</t>
  </si>
  <si>
    <t xml:space="preserve">Total Liabilities &amp; Equity</t>
  </si>
  <si>
    <t xml:space="preserve">Fixed Assets (Net) + CWIP</t>
  </si>
  <si>
    <t xml:space="preserve">Investments</t>
  </si>
  <si>
    <t xml:space="preserve">Other Assets (incl. net working capital)</t>
  </si>
  <si>
    <t xml:space="preserve">Total Assets (check)</t>
  </si>
  <si>
    <t xml:space="preserve">Cash Flow</t>
  </si>
  <si>
    <t xml:space="preserve">Cash from Operating Activity</t>
  </si>
  <si>
    <t xml:space="preserve">Free Cash Flow (reported)</t>
  </si>
  <si>
    <t xml:space="preserve">Shares Outstanding (Cr.)</t>
  </si>
  <si>
    <t xml:space="preserve">Market Price per Share (Jan 2026, Rs.)</t>
  </si>
  <si>
    <t xml:space="preserve">Market Capitalization (Rs. Cr.)</t>
  </si>
  <si>
    <t xml:space="preserve">Forecast Assumptions (blue = editable input)</t>
  </si>
  <si>
    <t xml:space="preserve">Driver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</si>
  <si>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</si>
  <si>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</si>
  <si>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</si>
  <si>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</si>
  <si>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</si>
  <si>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Revenue growth %</t>
  </si>
  <si>
    <t xml:space="preserve">EBITDA margin %</t>
  </si>
  <si>
    <t xml:space="preserve">D&amp;A (% of revenue)</t>
  </si>
  <si>
    <t xml:space="preserve">Capex (% of revenue)</t>
  </si>
  <si>
    <t xml:space="preserve">Incremental NWC (% of revenue change)</t>
  </si>
  <si>
    <t xml:space="preserve">Tax rate %</t>
  </si>
  <si>
    <t xml:space="preserve">WACC build-up (CAPM)</t>
  </si>
  <si>
    <t xml:space="preserve">Risk-free rate (10Y India G-Sec)</t>
  </si>
  <si>
    <t xml:space="preserve">Equity beta (assumption)</t>
  </si>
  <si>
    <t xml:space="preserve">Equity risk premium (India)</t>
  </si>
  <si>
    <t xml:space="preserve">Cost of equity (Ke)</t>
  </si>
  <si>
    <t xml:space="preserve">Pre-tax cost of debt (Interest/avg borrowings)</t>
  </si>
  <si>
    <t xml:space="preserve">Post-tax cost of debt (Kd)</t>
  </si>
  <si>
    <t xml:space="preserve">Equity value (FY25 net worth, Rs. Cr.)</t>
  </si>
  <si>
    <t xml:space="preserve">Debt value (FY25 borrowings, Rs. Cr.)</t>
  </si>
  <si>
    <t xml:space="preserve">Weight of equity</t>
  </si>
  <si>
    <t xml:space="preserve">Weight of debt</t>
  </si>
  <si>
    <t xml:space="preserve">WACC</t>
  </si>
  <si>
    <t xml:space="preserve">Terminal growth rate (g)</t>
  </si>
  <si>
    <t xml:space="preserve">Note: beta and equity risk premium are analyst assumptions (Asian Paints does not publish a beta;</t>
  </si>
  <si>
    <t xml:space="preserve">0.75 reflects its historically low volatility as a large-cap consumer staple).</t>
  </si>
  <si>
    <t xml:space="preserve">3-Statement Forecast, FY2026E-FY2030E (Rs. Crore)</t>
  </si>
  <si>
    <t xml:space="preserve">FY2025A</t>
  </si>
  <si>
    <t xml:space="preserve">EBITDA</t>
  </si>
  <si>
    <t xml:space="preserve">Less: D&amp;A</t>
  </si>
  <si>
    <t xml:space="preserve">EBIT</t>
  </si>
  <si>
    <t xml:space="preserve">Less: Tax on EBIT</t>
  </si>
  <si>
    <t xml:space="preserve">NOPAT (EBIT after tax)</t>
  </si>
  <si>
    <t xml:space="preserve">Free Cash Flow to Firm build-up</t>
  </si>
  <si>
    <t xml:space="preserve">NOPAT</t>
  </si>
  <si>
    <t xml:space="preserve">Add: D&amp;A</t>
  </si>
  <si>
    <t xml:space="preserve">Less: Capex</t>
  </si>
  <si>
    <t xml:space="preserve">Less: Increase in Net Working Capital</t>
  </si>
  <si>
    <t xml:space="preserve">Free Cash Flow to Firm (FCFF)</t>
  </si>
  <si>
    <t xml:space="preserve">DCF Valuation - Asian Paints Ltd.</t>
  </si>
  <si>
    <t xml:space="preserve">Forecast year</t>
  </si>
  <si>
    <t xml:space="preserve">FCFF</t>
  </si>
  <si>
    <t xml:space="preserve">Discount factor @ WACC</t>
  </si>
  <si>
    <t xml:space="preserve">PV of FCFF</t>
  </si>
  <si>
    <t xml:space="preserve">Sum of PV of FCFF (FY26E-FY30E)</t>
  </si>
  <si>
    <t xml:space="preserve">Terminal Value (Gordon Growth Method)</t>
  </si>
  <si>
    <t xml:space="preserve">Terminal year FCFF (FY30E)</t>
  </si>
  <si>
    <t xml:space="preserve">Terminal FCFF (FY31E) = FY30E x (1+g)</t>
  </si>
  <si>
    <t xml:space="preserve">Terminal Value @ end of FY30E = TermFCFF/(WACC-g)</t>
  </si>
  <si>
    <t xml:space="preserve">PV of Terminal Value</t>
  </si>
  <si>
    <t xml:space="preserve">Enterprise Value</t>
  </si>
  <si>
    <t xml:space="preserve">Less: Net Debt (FY25 Borrowings - Investments)</t>
  </si>
  <si>
    <t xml:space="preserve">Equity Value</t>
  </si>
  <si>
    <t xml:space="preserve">DCF Value per Share (Rs.)</t>
  </si>
  <si>
    <t xml:space="preserve">Current Market Price (Jan 2026, Rs.)</t>
  </si>
  <si>
    <t xml:space="preserve">Upside / (Downside) to DCF Value</t>
  </si>
  <si>
    <t xml:space="preserve">Note: Equity Value (Rs. Crore) / Shares Outstanding (Crore) gives value per share directly in Rupees,</t>
  </si>
  <si>
    <t xml:space="preserve">since both figures are expressed in the same Crore scale.</t>
  </si>
  <si>
    <t xml:space="preserve">Sensitivity: Value per Share (Rs.) - WACC vs. Terminal Growth Rate</t>
  </si>
  <si>
    <t xml:space="preserve">Computed independently for each WACC/g pair using the same FCFF stream as the DCF Valuation tab.</t>
  </si>
  <si>
    <t xml:space="preserve">WACC \ Terminal g</t>
  </si>
  <si>
    <t xml:space="preserve">Base case (WACC ~11.3%, g = 5.0%) highlighted in yellow - matches the DCF Valuation tab output.</t>
  </si>
  <si>
    <t xml:space="preserve">Comparable Company Analysis - Indian Decorative Paints Sector</t>
  </si>
  <si>
    <t xml:space="preserve">Source: Screener.in company pages, data as of Q4 FY26 / TTM (approx. May-Jun 2026)</t>
  </si>
  <si>
    <t xml:space="preserve">Company</t>
  </si>
  <si>
    <t xml:space="preserve">Mkt Cap (Rs. Cr.)</t>
  </si>
  <si>
    <t xml:space="preserve">TTM Revenue (Rs. Cr.)</t>
  </si>
  <si>
    <t xml:space="preserve">TTM Net Profit (Rs. Cr.)</t>
  </si>
  <si>
    <t xml:space="preserve">P/E (x)</t>
  </si>
  <si>
    <t xml:space="preserve">P/Sales (x)</t>
  </si>
  <si>
    <t xml:space="preserve">Asian Paints Ltd</t>
  </si>
  <si>
    <t xml:space="preserve">Berger Paints India Ltd</t>
  </si>
  <si>
    <t xml:space="preserve">Kansai Nerolac Paints Ltd</t>
  </si>
  <si>
    <t xml:space="preserve">Peer average (excl. Asian Paints)</t>
  </si>
  <si>
    <t xml:space="preserve">Implied Valuation of Asian Paints at Peer Average Multiples</t>
  </si>
  <si>
    <t xml:space="preserve">Method</t>
  </si>
  <si>
    <t xml:space="preserve">Asian Paints FY25 metric</t>
  </si>
  <si>
    <t xml:space="preserve">Peer avg. multiple</t>
  </si>
  <si>
    <t xml:space="preserve">Implied Equity Value (Rs. Cr.)</t>
  </si>
  <si>
    <t xml:space="preserve">Implied Value / Share (Rs.)</t>
  </si>
  <si>
    <t xml:space="preserve">P/E method</t>
  </si>
  <si>
    <t xml:space="preserve">P/Sales method</t>
  </si>
  <si>
    <t xml:space="preserve">Comps-implied value range (Rs./share)</t>
  </si>
  <si>
    <t xml:space="preserve">to</t>
  </si>
  <si>
    <t xml:space="preserve">Note: Asian Paints trades at a structural premium to peers (leadership scale, brand, distribution reach),</t>
  </si>
  <si>
    <t xml:space="preserve">so comps-implied values here are a sanity check on the DCF, not a standalone target.</t>
  </si>
  <si>
    <t xml:space="preserve">Valuation Summary &amp; Recommendation - Asian Paints Ltd.</t>
  </si>
  <si>
    <t xml:space="preserve">Metric</t>
  </si>
  <si>
    <t xml:space="preserve">Value</t>
  </si>
  <si>
    <t xml:space="preserve">Current Market Price (Jan 2026)</t>
  </si>
  <si>
    <t xml:space="preserve">DCF Value per Share</t>
  </si>
  <si>
    <t xml:space="preserve">DCF Upside / (Downside)</t>
  </si>
  <si>
    <t xml:space="preserve">Comps-Implied Value (low)</t>
  </si>
  <si>
    <t xml:space="preserve">Comps-Implied Value (high)</t>
  </si>
  <si>
    <t xml:space="preserve">WACC used</t>
  </si>
  <si>
    <t xml:space="preserve">Terminal growth rate used</t>
  </si>
  <si>
    <t xml:space="preserve">INVESTMENT VIEW</t>
  </si>
  <si>
    <t xml:space="preserve">The base-case DCF (2-7% revenue growth, 18-19% EBITDA margin, ~11.3% WACC) implies a fair value of roughly</t>
  </si>
  <si>
    <t xml:space="preserve">Rs. 650/share - a P/E of ~17x FY25 earnings. The January 2026 market price of Rs. 2,665 implies ~70x FY25</t>
  </si>
  <si>
    <t xml:space="preserve">earnings, well above both the DCF and the peer average P/E of ~34x (Comps tab).</t>
  </si>
  <si>
    <t xml:space="preserve">The gap is consistent with Asian Paints' long-standing 'quality compounder' premium: the market is pricing in</t>
  </si>
  <si>
    <t xml:space="preserve">durability, brand moat and reinvestment runway well beyond what a conservative 5-year explicit forecast plus</t>
  </si>
  <si>
    <t xml:space="preserve">Gordon Growth terminal value can capture. That premium has persisted for years and is not, by itself, evidence</t>
  </si>
  <si>
    <t xml:space="preserve">the stock is mispriced - but it does mean this DCF offers little margin of safety at the current price, and</t>
  </si>
  <si>
    <t xml:space="preserve">returns from here depend more on multiple sustainability than on this model's fundamental cash flows.</t>
  </si>
  <si>
    <t xml:space="preserve">View: HOLD - fundamentally sound business, but the current price already assumes a best-case competitive</t>
  </si>
  <si>
    <t xml:space="preserve">outcome (successful defense of share against Birla Opus) that this base case does not build in. This is a</t>
  </si>
  <si>
    <t xml:space="preserve">model output for a learning project, not investment advice.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</si>
</sst>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0.0%"/>
    <numFmt numFmtId="167" formatCode="0.00"/>
    <numFmt numFmtId="168" formatCode="\₹#,##0.00"/>
    <numFmt numFmtId="169" formatCode="0"/>
    <numFmt numFmtId="170" formatCode="0.000"/>
    <numFmt numFmtId="171" formatCode="0.00\x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  <font>
      <b val="true"/>
      <i val="true"/>
      <sz val="11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3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2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833C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B2:B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4" t="s">
        <v>3</v>
      </c>
    </row>
    <row r="8" customFormat="false" ht="15" hidden="false" customHeight="false" outlineLevel="0" collapsed="false">
      <c r="B8" s="4" t="s">
        <v>4</v>
      </c>
    </row>
    <row r="9" customFormat="false" ht="15" hidden="false" customHeight="false" outlineLevel="0" collapsed="false">
      <c r="B9" s="4" t="s">
        <v>5</v>
      </c>
    </row>
    <row r="11" customFormat="false" ht="15" hidden="false" customHeight="false" outlineLevel="0" collapsed="false">
      <c r="B11" s="3" t="s">
        <v>6</v>
      </c>
    </row>
    <row r="12" customFormat="false" ht="15" hidden="false" customHeight="false" outlineLevel="0" collapsed="false">
      <c r="B12" s="4" t="s">
        <v>7</v>
      </c>
    </row>
    <row r="13" customFormat="false" ht="15" hidden="false" customHeight="false" outlineLevel="0" collapsed="false">
      <c r="B13" s="4" t="s">
        <v>8</v>
      </c>
    </row>
    <row r="14" customFormat="false" ht="15" hidden="false" customHeight="false" outlineLevel="0" collapsed="false">
      <c r="B14" s="4" t="s">
        <v>9</v>
      </c>
    </row>
    <row r="15" customFormat="false" ht="15" hidden="false" customHeight="false" outlineLevel="0" collapsed="false">
      <c r="B15" s="4" t="s">
        <v>10</v>
      </c>
    </row>
    <row r="16" customFormat="false" ht="15" hidden="false" customHeight="false" outlineLevel="0" collapsed="false">
      <c r="B16" s="4" t="s">
        <v>11</v>
      </c>
    </row>
    <row r="17" customFormat="false" ht="15" hidden="false" customHeight="false" outlineLevel="0" collapsed="false">
      <c r="B17" s="4" t="s">
        <v>12</v>
      </c>
    </row>
    <row r="18" customFormat="false" ht="15" hidden="false" customHeight="false" outlineLevel="0" collapsed="false">
      <c r="B18" s="4" t="s">
        <v>13</v>
      </c>
    </row>
    <row r="20" customFormat="false" ht="15" hidden="false" customHeight="false" outlineLevel="0" collapsed="false">
      <c r="B20" s="3" t="s">
        <v>14</v>
      </c>
    </row>
    <row r="21" customFormat="false" ht="15" hidden="false" customHeight="false" outlineLevel="0" collapsed="false">
      <c r="B21" s="4" t="s">
        <v>15</v>
      </c>
    </row>
    <row r="22" customFormat="false" ht="15" hidden="false" customHeight="false" outlineLevel="0" collapsed="false">
      <c r="B22" s="4" t="s">
        <v>16</v>
      </c>
    </row>
    <row r="23" customFormat="false" ht="15" hidden="false" customHeight="false" outlineLevel="0" collapsed="false">
      <c r="B23" s="4" t="s">
        <v>17</v>
      </c>
    </row>
    <row r="24" customFormat="false" ht="15" hidden="false" customHeight="false" outlineLevel="0" collapsed="false">
      <c r="B24" s="4" t="s">
        <v>18</v>
      </c>
    </row>
    <row r="26" customFormat="false" ht="15" hidden="false" customHeight="false" outlineLevel="0" collapsed="false">
      <c r="B26" s="3" t="s">
        <v>19</v>
      </c>
    </row>
    <row r="27" customFormat="false" ht="15" hidden="false" customHeight="false" outlineLevel="0" collapsed="false">
      <c r="B27" s="4" t="s">
        <v>20</v>
      </c>
    </row>
    <row r="28" customFormat="false" ht="15" hidden="false" customHeight="false" outlineLevel="0" collapsed="false">
      <c r="B28" s="4" t="s">
        <v>21</v>
      </c>
    </row>
    <row r="29" customFormat="false" ht="15" hidden="false" customHeight="false" outlineLevel="0" collapsed="false">
      <c r="B29" s="4" t="s">
        <v>22</v>
      </c>
    </row>
    <row r="30" customFormat="false" ht="15" hidden="false" customHeight="false" outlineLevel="0" collapsed="false">
      <c r="B30" s="4" t="s">
        <v>23</v>
      </c>
    </row>
    <row r="31" customFormat="false" ht="15" hidden="false" customHeight="false" outlineLevel="0" collapsed="false">
      <c r="B31" s="4" t="s">
        <v>24</v>
      </c>
    </row>
    <row r="34" customFormat="false" ht="15" hidden="false" customHeight="false" outlineLevel="0" collapsed="false">
      <c r="B34" s="5" t="s">
        <v>25</v>
      </c>
    </row>
    <row r="35" customFormat="false" ht="15" hidden="false" customHeight="false" outlineLevel="0" collapsed="false">
      <c r="B35" s="2" t="s">
        <v>26</v>
      </c>
    </row>
    <row r="36" customFormat="false" ht="15" hidden="false" customHeight="false" outlineLevel="0" collapsed="false">
      <c r="B36" s="2" t="s">
        <v>27</v>
      </c>
    </row>
    <row r="37" customFormat="false" ht="15" hidden="false" customHeight="false" outlineLevel="0" collapsed="false">
      <c r="B37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13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6" t="s">
        <v>30</v>
      </c>
    </row>
    <row r="4" customFormat="false" ht="15" hidden="false" customHeight="false" outlineLevel="0" collapsed="false">
      <c r="A4" s="7" t="s">
        <v>31</v>
      </c>
      <c r="B4" s="7" t="s">
        <v>32</v>
      </c>
      <c r="C4" s="7" t="s">
        <v>33</v>
      </c>
      <c r="D4" s="7" t="s">
        <v>34</v>
      </c>
      <c r="E4" s="7" t="s">
        <v>35</v>
      </c>
      <c r="F4" s="7" t="s">
        <v>36</v>
      </c>
    </row>
    <row r="5" customFormat="false" ht="15" hidden="false" customHeight="false" outlineLevel="0" collapsed="false">
      <c r="A5" s="3" t="s">
        <v>37</v>
      </c>
      <c r="B5" s="8" t="n">
        <v>21713</v>
      </c>
      <c r="C5" s="8" t="n">
        <v>29101</v>
      </c>
      <c r="D5" s="8" t="n">
        <v>34489</v>
      </c>
      <c r="E5" s="8" t="n">
        <v>35495</v>
      </c>
      <c r="F5" s="8" t="n">
        <v>33906</v>
      </c>
    </row>
    <row r="6" customFormat="false" ht="15" hidden="false" customHeight="false" outlineLevel="0" collapsed="false">
      <c r="A6" s="4" t="s">
        <v>38</v>
      </c>
      <c r="B6" s="8" t="n">
        <v>16857</v>
      </c>
      <c r="C6" s="8" t="n">
        <v>24298</v>
      </c>
      <c r="D6" s="8" t="n">
        <v>28229</v>
      </c>
      <c r="E6" s="8" t="n">
        <v>27910</v>
      </c>
      <c r="F6" s="8" t="n">
        <v>27899</v>
      </c>
    </row>
    <row r="7" customFormat="false" ht="15" hidden="false" customHeight="false" outlineLevel="0" collapsed="false">
      <c r="A7" s="3" t="s">
        <v>39</v>
      </c>
      <c r="B7" s="9" t="n">
        <f aca="false">B5-B6</f>
        <v>4856</v>
      </c>
      <c r="C7" s="9" t="n">
        <f aca="false">C5-C6</f>
        <v>4803</v>
      </c>
      <c r="D7" s="9" t="n">
        <f aca="false">D5-D6</f>
        <v>6260</v>
      </c>
      <c r="E7" s="9" t="n">
        <f aca="false">E5-E6</f>
        <v>7585</v>
      </c>
      <c r="F7" s="9" t="n">
        <f aca="false">F5-F6</f>
        <v>6007</v>
      </c>
    </row>
    <row r="8" customFormat="false" ht="15" hidden="false" customHeight="false" outlineLevel="0" collapsed="false">
      <c r="A8" s="4" t="s">
        <v>40</v>
      </c>
      <c r="B8" s="10" t="n">
        <f aca="false">B7/B5</f>
        <v>0.223644821074932</v>
      </c>
      <c r="C8" s="10" t="n">
        <f aca="false">C7/C5</f>
        <v>0.165045874712209</v>
      </c>
      <c r="D8" s="10" t="n">
        <f aca="false">D7/D5</f>
        <v>0.181507147206356</v>
      </c>
      <c r="E8" s="10" t="n">
        <f aca="false">E7/E5</f>
        <v>0.213692069305536</v>
      </c>
      <c r="F8" s="10" t="n">
        <f aca="false">F7/F5</f>
        <v>0.177166283253701</v>
      </c>
    </row>
    <row r="9" customFormat="false" ht="15" hidden="false" customHeight="false" outlineLevel="0" collapsed="false">
      <c r="A9" s="4" t="s">
        <v>41</v>
      </c>
      <c r="B9" s="8" t="n">
        <v>332</v>
      </c>
      <c r="C9" s="8" t="n">
        <v>296</v>
      </c>
      <c r="D9" s="8" t="n">
        <v>431</v>
      </c>
      <c r="E9" s="8" t="n">
        <v>821</v>
      </c>
      <c r="F9" s="8" t="n">
        <v>350</v>
      </c>
    </row>
    <row r="10" customFormat="false" ht="15" hidden="false" customHeight="false" outlineLevel="0" collapsed="false">
      <c r="A10" s="4" t="s">
        <v>42</v>
      </c>
      <c r="B10" s="8" t="n">
        <v>92</v>
      </c>
      <c r="C10" s="8" t="n">
        <v>95</v>
      </c>
      <c r="D10" s="8" t="n">
        <v>144</v>
      </c>
      <c r="E10" s="8" t="n">
        <v>205</v>
      </c>
      <c r="F10" s="8" t="n">
        <v>227</v>
      </c>
    </row>
    <row r="11" customFormat="false" ht="15" hidden="false" customHeight="false" outlineLevel="0" collapsed="false">
      <c r="A11" s="4" t="s">
        <v>43</v>
      </c>
      <c r="B11" s="8" t="n">
        <v>791</v>
      </c>
      <c r="C11" s="8" t="n">
        <v>816</v>
      </c>
      <c r="D11" s="8" t="n">
        <v>858</v>
      </c>
      <c r="E11" s="8" t="n">
        <v>853</v>
      </c>
      <c r="F11" s="8" t="n">
        <v>1026</v>
      </c>
    </row>
    <row r="12" customFormat="false" ht="15" hidden="false" customHeight="false" outlineLevel="0" collapsed="false">
      <c r="A12" s="3" t="s">
        <v>44</v>
      </c>
      <c r="B12" s="9" t="n">
        <f aca="false">B7+B9-B10-B11</f>
        <v>4305</v>
      </c>
      <c r="C12" s="9" t="n">
        <f aca="false">C7+C9-C10-C11</f>
        <v>4188</v>
      </c>
      <c r="D12" s="9" t="n">
        <f aca="false">D7+D9-D10-D11</f>
        <v>5689</v>
      </c>
      <c r="E12" s="9" t="n">
        <f aca="false">E7+E9-E10-E11</f>
        <v>7348</v>
      </c>
      <c r="F12" s="9" t="n">
        <f aca="false">F7+F9-F10-F11</f>
        <v>5104</v>
      </c>
    </row>
    <row r="13" customFormat="false" ht="15" hidden="false" customHeight="false" outlineLevel="0" collapsed="false">
      <c r="A13" s="4" t="s">
        <v>45</v>
      </c>
      <c r="B13" s="11" t="n">
        <v>0.26</v>
      </c>
      <c r="C13" s="11" t="n">
        <v>0.26</v>
      </c>
      <c r="D13" s="11" t="n">
        <v>0.26</v>
      </c>
      <c r="E13" s="11" t="n">
        <v>0.24</v>
      </c>
      <c r="F13" s="11" t="n">
        <v>0.27</v>
      </c>
    </row>
    <row r="14" customFormat="false" ht="15" hidden="false" customHeight="false" outlineLevel="0" collapsed="false">
      <c r="A14" s="3" t="s">
        <v>46</v>
      </c>
      <c r="B14" s="9" t="n">
        <f aca="false">B12*(1-B13)</f>
        <v>3185.7</v>
      </c>
      <c r="C14" s="9" t="n">
        <f aca="false">C12*(1-C13)</f>
        <v>3099.12</v>
      </c>
      <c r="D14" s="9" t="n">
        <f aca="false">D12*(1-D13)</f>
        <v>4209.86</v>
      </c>
      <c r="E14" s="9" t="n">
        <f aca="false">E12*(1-E13)</f>
        <v>5584.48</v>
      </c>
      <c r="F14" s="9" t="n">
        <f aca="false">F12*(1-F13)</f>
        <v>3725.92</v>
      </c>
    </row>
    <row r="15" customFormat="false" ht="15" hidden="false" customHeight="false" outlineLevel="0" collapsed="false">
      <c r="A15" s="4" t="s">
        <v>47</v>
      </c>
      <c r="B15" s="12" t="n">
        <v>32.73</v>
      </c>
      <c r="C15" s="12" t="n">
        <v>31.59</v>
      </c>
      <c r="D15" s="12" t="n">
        <v>42.81</v>
      </c>
      <c r="E15" s="12" t="n">
        <v>56.92</v>
      </c>
      <c r="F15" s="12" t="n">
        <v>38.23</v>
      </c>
    </row>
    <row r="17" customFormat="false" ht="15" hidden="false" customHeight="false" outlineLevel="0" collapsed="false">
      <c r="A17" s="3" t="s">
        <v>48</v>
      </c>
    </row>
    <row r="18" customFormat="false" ht="15" hidden="false" customHeight="false" outlineLevel="0" collapsed="false">
      <c r="A18" s="7" t="s">
        <v>31</v>
      </c>
      <c r="B18" s="7" t="s">
        <v>32</v>
      </c>
      <c r="C18" s="7" t="s">
        <v>33</v>
      </c>
      <c r="D18" s="7" t="s">
        <v>34</v>
      </c>
      <c r="E18" s="7" t="s">
        <v>35</v>
      </c>
      <c r="F18" s="7" t="s">
        <v>36</v>
      </c>
    </row>
    <row r="19" customFormat="false" ht="15" hidden="false" customHeight="false" outlineLevel="0" collapsed="false">
      <c r="A19" s="4" t="s">
        <v>49</v>
      </c>
      <c r="B19" s="8" t="n">
        <v>96</v>
      </c>
      <c r="C19" s="8" t="n">
        <v>96</v>
      </c>
      <c r="D19" s="8" t="n">
        <v>96</v>
      </c>
      <c r="E19" s="8" t="n">
        <v>96</v>
      </c>
      <c r="F19" s="8" t="n">
        <v>96</v>
      </c>
    </row>
    <row r="20" customFormat="false" ht="15" hidden="false" customHeight="false" outlineLevel="0" collapsed="false">
      <c r="A20" s="4" t="s">
        <v>50</v>
      </c>
      <c r="B20" s="8" t="n">
        <v>12710</v>
      </c>
      <c r="C20" s="8" t="n">
        <v>13716</v>
      </c>
      <c r="D20" s="8" t="n">
        <v>15896</v>
      </c>
      <c r="E20" s="8" t="n">
        <v>18632</v>
      </c>
      <c r="F20" s="8" t="n">
        <v>19304</v>
      </c>
    </row>
    <row r="21" customFormat="false" ht="15" hidden="false" customHeight="false" outlineLevel="0" collapsed="false">
      <c r="A21" s="3" t="s">
        <v>51</v>
      </c>
      <c r="B21" s="9" t="n">
        <f aca="false">B19+B20</f>
        <v>12806</v>
      </c>
      <c r="C21" s="9" t="n">
        <f aca="false">C19+C20</f>
        <v>13812</v>
      </c>
      <c r="D21" s="9" t="n">
        <f aca="false">D19+D20</f>
        <v>15992</v>
      </c>
      <c r="E21" s="9" t="n">
        <f aca="false">E19+E20</f>
        <v>18728</v>
      </c>
      <c r="F21" s="9" t="n">
        <f aca="false">F19+F20</f>
        <v>19400</v>
      </c>
    </row>
    <row r="22" customFormat="false" ht="15" hidden="false" customHeight="false" outlineLevel="0" collapsed="false">
      <c r="A22" s="4" t="s">
        <v>52</v>
      </c>
      <c r="B22" s="8" t="n">
        <v>1093</v>
      </c>
      <c r="C22" s="8" t="n">
        <v>1587</v>
      </c>
      <c r="D22" s="8" t="n">
        <v>1933</v>
      </c>
      <c r="E22" s="8" t="n">
        <v>2474</v>
      </c>
      <c r="F22" s="8" t="n">
        <v>2290</v>
      </c>
    </row>
    <row r="23" customFormat="false" ht="15" hidden="false" customHeight="false" outlineLevel="0" collapsed="false">
      <c r="A23" s="4" t="s">
        <v>53</v>
      </c>
      <c r="B23" s="8" t="n">
        <v>6456</v>
      </c>
      <c r="C23" s="8" t="n">
        <v>7560</v>
      </c>
      <c r="D23" s="8" t="n">
        <v>7854</v>
      </c>
      <c r="E23" s="8" t="n">
        <v>8698</v>
      </c>
      <c r="F23" s="8" t="n">
        <v>8665</v>
      </c>
    </row>
    <row r="24" customFormat="false" ht="15" hidden="false" customHeight="false" outlineLevel="0" collapsed="false">
      <c r="A24" s="3" t="s">
        <v>54</v>
      </c>
      <c r="B24" s="9" t="n">
        <f aca="false">B21+B22+B23</f>
        <v>20355</v>
      </c>
      <c r="C24" s="9" t="n">
        <f aca="false">C21+C22+C23</f>
        <v>22959</v>
      </c>
      <c r="D24" s="9" t="n">
        <f aca="false">D21+D22+D23</f>
        <v>25779</v>
      </c>
      <c r="E24" s="9" t="n">
        <f aca="false">E21+E22+E23</f>
        <v>29900</v>
      </c>
      <c r="F24" s="9" t="n">
        <f aca="false">F21+F22+F23</f>
        <v>30355</v>
      </c>
    </row>
    <row r="25" customFormat="false" ht="15" hidden="false" customHeight="false" outlineLevel="0" collapsed="false">
      <c r="A25" s="4" t="s">
        <v>55</v>
      </c>
      <c r="B25" s="8" t="n">
        <v>6042</v>
      </c>
      <c r="C25" s="8" t="n">
        <v>5945</v>
      </c>
      <c r="D25" s="8" t="n">
        <v>6790</v>
      </c>
      <c r="E25" s="8" t="n">
        <v>9845</v>
      </c>
      <c r="F25" s="8" t="n">
        <v>10474</v>
      </c>
    </row>
    <row r="26" customFormat="false" ht="15" hidden="false" customHeight="false" outlineLevel="0" collapsed="false">
      <c r="A26" s="4" t="s">
        <v>56</v>
      </c>
      <c r="B26" s="8" t="n">
        <v>4737</v>
      </c>
      <c r="C26" s="8" t="n">
        <v>3248</v>
      </c>
      <c r="D26" s="8" t="n">
        <v>4262</v>
      </c>
      <c r="E26" s="8" t="n">
        <v>4588</v>
      </c>
      <c r="F26" s="8" t="n">
        <v>4725</v>
      </c>
    </row>
    <row r="27" customFormat="false" ht="15" hidden="false" customHeight="false" outlineLevel="0" collapsed="false">
      <c r="A27" s="4" t="s">
        <v>57</v>
      </c>
      <c r="B27" s="8" t="n">
        <v>9576</v>
      </c>
      <c r="C27" s="8" t="n">
        <v>13765</v>
      </c>
      <c r="D27" s="8" t="n">
        <v>14727</v>
      </c>
      <c r="E27" s="8" t="n">
        <v>15468</v>
      </c>
      <c r="F27" s="8" t="n">
        <v>15156</v>
      </c>
    </row>
    <row r="28" customFormat="false" ht="15" hidden="false" customHeight="false" outlineLevel="0" collapsed="false">
      <c r="A28" s="3" t="s">
        <v>58</v>
      </c>
      <c r="B28" s="9" t="n">
        <f aca="false">B25+B26+B27</f>
        <v>20355</v>
      </c>
      <c r="C28" s="9" t="n">
        <f aca="false">C25+C26+C27</f>
        <v>22958</v>
      </c>
      <c r="D28" s="9" t="n">
        <f aca="false">D25+D26+D27</f>
        <v>25779</v>
      </c>
      <c r="E28" s="9" t="n">
        <f aca="false">E25+E26+E27</f>
        <v>29901</v>
      </c>
      <c r="F28" s="9" t="n">
        <f aca="false">F25+F26+F27</f>
        <v>30355</v>
      </c>
    </row>
    <row r="30" customFormat="false" ht="15" hidden="false" customHeight="false" outlineLevel="0" collapsed="false">
      <c r="A30" s="3" t="s">
        <v>59</v>
      </c>
    </row>
    <row r="31" customFormat="false" ht="15" hidden="false" customHeight="false" outlineLevel="0" collapsed="false">
      <c r="A31" s="7" t="s">
        <v>31</v>
      </c>
      <c r="B31" s="7" t="s">
        <v>32</v>
      </c>
      <c r="C31" s="7" t="s">
        <v>33</v>
      </c>
      <c r="D31" s="7" t="s">
        <v>34</v>
      </c>
      <c r="E31" s="7" t="s">
        <v>35</v>
      </c>
      <c r="F31" s="7" t="s">
        <v>36</v>
      </c>
    </row>
    <row r="32" customFormat="false" ht="15" hidden="false" customHeight="false" outlineLevel="0" collapsed="false">
      <c r="A32" s="4" t="s">
        <v>60</v>
      </c>
      <c r="B32" s="8" t="n">
        <v>3683</v>
      </c>
      <c r="C32" s="8" t="n">
        <v>986</v>
      </c>
      <c r="D32" s="8" t="n">
        <v>4193</v>
      </c>
      <c r="E32" s="8" t="n">
        <v>6104</v>
      </c>
      <c r="F32" s="8" t="n">
        <v>4424</v>
      </c>
    </row>
    <row r="33" customFormat="false" ht="15" hidden="false" customHeight="false" outlineLevel="0" collapsed="false">
      <c r="A33" s="4" t="s">
        <v>61</v>
      </c>
      <c r="B33" s="8" t="n">
        <v>3422</v>
      </c>
      <c r="C33" s="8" t="n">
        <v>475</v>
      </c>
      <c r="D33" s="8" t="n">
        <v>2774</v>
      </c>
      <c r="E33" s="8" t="n">
        <v>3613</v>
      </c>
      <c r="F33" s="8" t="n">
        <v>2604</v>
      </c>
    </row>
    <row r="35" customFormat="false" ht="15" hidden="false" customHeight="false" outlineLevel="0" collapsed="false">
      <c r="A35" s="4" t="s">
        <v>62</v>
      </c>
      <c r="F35" s="12" t="n">
        <v>97.03</v>
      </c>
    </row>
    <row r="36" customFormat="false" ht="15" hidden="false" customHeight="false" outlineLevel="0" collapsed="false">
      <c r="A36" s="4" t="s">
        <v>63</v>
      </c>
      <c r="F36" s="13" t="n">
        <v>2665</v>
      </c>
    </row>
    <row r="37" customFormat="false" ht="15" hidden="false" customHeight="false" outlineLevel="0" collapsed="false">
      <c r="A37" s="3" t="s">
        <v>64</v>
      </c>
      <c r="F37" s="9" t="n">
        <f aca="false">F35*F36</f>
        <v>258584.95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1" t="s">
        <v>65</v>
      </c>
    </row>
    <row r="3" customFormat="false" ht="15" hidden="false" customHeight="false" outlineLevel="0" collapsed="false">
      <c r="A3" s="7" t="s">
        <v>66</v>
      </c>
      <c r="B3" s="7" t="s">
        <v>67</v>
      </c>
      <c r="C3" s="7" t="s">
        <v>68</v>
      </c>
      <c r="D3" s="7" t="s">
        <v>69</v>
      </c>
      <c r="E3" s="7" t="s">
        <v>70</v>
      </c>
      <c r="F3" s="7" t="s">
        <v>71</v>
      </c>
    </row>
    <row r="4" customFormat="false" ht="15" hidden="false" customHeight="false" outlineLevel="0" collapsed="false">
      <c r="A4" s="4" t="s">
        <v>72</v>
      </c>
      <c r="B4" s="11" t="n">
        <v>0.02</v>
      </c>
      <c r="C4" s="11" t="n">
        <v>0.06</v>
      </c>
      <c r="D4" s="11" t="n">
        <v>0.07</v>
      </c>
      <c r="E4" s="11" t="n">
        <v>0.07</v>
      </c>
      <c r="F4" s="11" t="n">
        <v>0.07</v>
      </c>
    </row>
    <row r="5" customFormat="false" ht="15" hidden="false" customHeight="false" outlineLevel="0" collapsed="false">
      <c r="A5" s="4" t="s">
        <v>73</v>
      </c>
      <c r="B5" s="11" t="n">
        <v>0.18</v>
      </c>
      <c r="C5" s="11" t="n">
        <v>0.185</v>
      </c>
      <c r="D5" s="11" t="n">
        <v>0.19</v>
      </c>
      <c r="E5" s="11" t="n">
        <v>0.19</v>
      </c>
      <c r="F5" s="11" t="n">
        <v>0.19</v>
      </c>
    </row>
    <row r="6" customFormat="false" ht="15" hidden="false" customHeight="false" outlineLevel="0" collapsed="false">
      <c r="A6" s="4" t="s">
        <v>74</v>
      </c>
      <c r="B6" s="11" t="n">
        <v>0.028</v>
      </c>
      <c r="C6" s="11" t="n">
        <v>0.028</v>
      </c>
      <c r="D6" s="11" t="n">
        <v>0.028</v>
      </c>
      <c r="E6" s="11" t="n">
        <v>0.028</v>
      </c>
      <c r="F6" s="11" t="n">
        <v>0.028</v>
      </c>
    </row>
    <row r="7" customFormat="false" ht="15" hidden="false" customHeight="false" outlineLevel="0" collapsed="false">
      <c r="A7" s="4" t="s">
        <v>75</v>
      </c>
      <c r="B7" s="11" t="n">
        <v>0.04</v>
      </c>
      <c r="C7" s="11" t="n">
        <v>0.04</v>
      </c>
      <c r="D7" s="11" t="n">
        <v>0.038</v>
      </c>
      <c r="E7" s="11" t="n">
        <v>0.036</v>
      </c>
      <c r="F7" s="11" t="n">
        <v>0.035</v>
      </c>
    </row>
    <row r="8" customFormat="false" ht="15" hidden="false" customHeight="false" outlineLevel="0" collapsed="false">
      <c r="A8" s="4" t="s">
        <v>76</v>
      </c>
      <c r="B8" s="11" t="n">
        <v>0.12</v>
      </c>
      <c r="C8" s="11" t="n">
        <v>0.12</v>
      </c>
      <c r="D8" s="11" t="n">
        <v>0.12</v>
      </c>
      <c r="E8" s="11" t="n">
        <v>0.12</v>
      </c>
      <c r="F8" s="11" t="n">
        <v>0.12</v>
      </c>
    </row>
    <row r="9" customFormat="false" ht="15" hidden="false" customHeight="false" outlineLevel="0" collapsed="false">
      <c r="A9" s="4" t="s">
        <v>77</v>
      </c>
      <c r="B9" s="11" t="n">
        <v>0.25</v>
      </c>
      <c r="C9" s="11" t="n">
        <v>0.25</v>
      </c>
      <c r="D9" s="11" t="n">
        <v>0.25</v>
      </c>
      <c r="E9" s="11" t="n">
        <v>0.25</v>
      </c>
      <c r="F9" s="11" t="n">
        <v>0.25</v>
      </c>
    </row>
    <row r="12" customFormat="false" ht="15" hidden="false" customHeight="false" outlineLevel="0" collapsed="false">
      <c r="A12" s="3" t="s">
        <v>78</v>
      </c>
    </row>
    <row r="13" customFormat="false" ht="15" hidden="false" customHeight="false" outlineLevel="0" collapsed="false">
      <c r="A13" s="4" t="s">
        <v>79</v>
      </c>
      <c r="B13" s="11" t="n">
        <v>0.07</v>
      </c>
    </row>
    <row r="14" customFormat="false" ht="15" hidden="false" customHeight="false" outlineLevel="0" collapsed="false">
      <c r="A14" s="4" t="s">
        <v>80</v>
      </c>
      <c r="B14" s="12" t="n">
        <v>0.75</v>
      </c>
    </row>
    <row r="15" customFormat="false" ht="15" hidden="false" customHeight="false" outlineLevel="0" collapsed="false">
      <c r="A15" s="4" t="s">
        <v>81</v>
      </c>
      <c r="B15" s="11" t="n">
        <v>0.065</v>
      </c>
    </row>
    <row r="16" customFormat="false" ht="15" hidden="false" customHeight="false" outlineLevel="0" collapsed="false">
      <c r="A16" s="3" t="s">
        <v>82</v>
      </c>
      <c r="B16" s="14" t="n">
        <f aca="false">B13+B14*B15</f>
        <v>0.11875</v>
      </c>
    </row>
    <row r="17" customFormat="false" ht="15" hidden="false" customHeight="false" outlineLevel="0" collapsed="false">
      <c r="A17" s="4" t="s">
        <v>83</v>
      </c>
      <c r="B17" s="10" t="n">
        <f aca="false">Historicals!F10/((Historicals!E22+Historicals!F22)/2)</f>
        <v>0.0952980688497061</v>
      </c>
    </row>
    <row r="18" customFormat="false" ht="15" hidden="false" customHeight="false" outlineLevel="0" collapsed="false">
      <c r="A18" s="4" t="s">
        <v>84</v>
      </c>
      <c r="B18" s="10" t="n">
        <f aca="false">B17*(1-B9)</f>
        <v>0.0714735516372796</v>
      </c>
    </row>
    <row r="19" customFormat="false" ht="15" hidden="false" customHeight="false" outlineLevel="0" collapsed="false">
      <c r="A19" s="4" t="s">
        <v>85</v>
      </c>
      <c r="B19" s="15" t="n">
        <f aca="false">Historicals!F21</f>
        <v>19400</v>
      </c>
    </row>
    <row r="20" customFormat="false" ht="15" hidden="false" customHeight="false" outlineLevel="0" collapsed="false">
      <c r="A20" s="4" t="s">
        <v>86</v>
      </c>
      <c r="B20" s="15" t="n">
        <f aca="false">Historicals!F22</f>
        <v>2290</v>
      </c>
    </row>
    <row r="21" customFormat="false" ht="15" hidden="false" customHeight="false" outlineLevel="0" collapsed="false">
      <c r="A21" s="4" t="s">
        <v>87</v>
      </c>
      <c r="B21" s="10" t="n">
        <f aca="false">B19/(B19+B20)</f>
        <v>0.894421392346704</v>
      </c>
    </row>
    <row r="22" customFormat="false" ht="15" hidden="false" customHeight="false" outlineLevel="0" collapsed="false">
      <c r="A22" s="4" t="s">
        <v>88</v>
      </c>
      <c r="B22" s="10" t="n">
        <f aca="false">B20/(B19+B20)</f>
        <v>0.105578607653296</v>
      </c>
    </row>
    <row r="23" customFormat="false" ht="15" hidden="false" customHeight="false" outlineLevel="0" collapsed="false">
      <c r="A23" s="3" t="s">
        <v>89</v>
      </c>
      <c r="B23" s="16" t="n">
        <f aca="false">B21*B16+B22*B18</f>
        <v>0.113758618407071</v>
      </c>
    </row>
    <row r="25" customFormat="false" ht="15" hidden="false" customHeight="false" outlineLevel="0" collapsed="false">
      <c r="A25" s="3" t="s">
        <v>90</v>
      </c>
      <c r="B25" s="17" t="n">
        <v>0.05</v>
      </c>
    </row>
    <row r="27" customFormat="false" ht="15" hidden="false" customHeight="false" outlineLevel="0" collapsed="false">
      <c r="A27" s="6" t="s">
        <v>91</v>
      </c>
    </row>
    <row r="28" customFormat="false" ht="15" hidden="false" customHeight="false" outlineLevel="0" collapsed="false">
      <c r="A28" s="6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1" t="s">
        <v>93</v>
      </c>
    </row>
    <row r="3" customFormat="false" ht="15" hidden="false" customHeight="false" outlineLevel="0" collapsed="false">
      <c r="A3" s="7" t="s">
        <v>31</v>
      </c>
      <c r="B3" s="7" t="s">
        <v>94</v>
      </c>
      <c r="C3" s="7" t="s">
        <v>67</v>
      </c>
      <c r="D3" s="7" t="s">
        <v>68</v>
      </c>
      <c r="E3" s="7" t="s">
        <v>69</v>
      </c>
      <c r="F3" s="7" t="s">
        <v>70</v>
      </c>
      <c r="G3" s="7" t="s">
        <v>71</v>
      </c>
    </row>
    <row r="4" customFormat="false" ht="15" hidden="false" customHeight="false" outlineLevel="0" collapsed="false">
      <c r="A4" s="3" t="s">
        <v>37</v>
      </c>
      <c r="B4" s="9" t="n">
        <f aca="false">Historicals!F5</f>
        <v>33906</v>
      </c>
      <c r="C4" s="9" t="n">
        <f aca="false">B4*(1+Assumptions!B4)</f>
        <v>34584.12</v>
      </c>
      <c r="D4" s="9" t="n">
        <f aca="false">C4*(1+Assumptions!C4)</f>
        <v>36659.1672</v>
      </c>
      <c r="E4" s="9" t="n">
        <f aca="false">D4*(1+Assumptions!D4)</f>
        <v>39225.308904</v>
      </c>
      <c r="F4" s="9" t="n">
        <f aca="false">E4*(1+Assumptions!E4)</f>
        <v>41971.08052728</v>
      </c>
      <c r="G4" s="9" t="n">
        <f aca="false">F4*(1+Assumptions!F4)</f>
        <v>44909.0561641896</v>
      </c>
    </row>
    <row r="5" customFormat="false" ht="15" hidden="false" customHeight="false" outlineLevel="0" collapsed="false">
      <c r="A5" s="4" t="s">
        <v>95</v>
      </c>
      <c r="B5" s="15" t="n">
        <f aca="false">Historicals!F7</f>
        <v>6007</v>
      </c>
      <c r="C5" s="15" t="n">
        <f aca="false">C4*Assumptions!B5</f>
        <v>6225.1416</v>
      </c>
      <c r="D5" s="15" t="n">
        <f aca="false">D4*Assumptions!C5</f>
        <v>6781.945932</v>
      </c>
      <c r="E5" s="15" t="n">
        <f aca="false">E4*Assumptions!D5</f>
        <v>7452.80869176</v>
      </c>
      <c r="F5" s="15" t="n">
        <f aca="false">F4*Assumptions!E5</f>
        <v>7974.5053001832</v>
      </c>
      <c r="G5" s="15" t="n">
        <f aca="false">G4*Assumptions!F5</f>
        <v>8532.72067119602</v>
      </c>
    </row>
    <row r="6" customFormat="false" ht="15" hidden="false" customHeight="false" outlineLevel="0" collapsed="false">
      <c r="A6" s="4" t="s">
        <v>73</v>
      </c>
      <c r="B6" s="10" t="n">
        <f aca="false">B5/B4</f>
        <v>0.177166283253701</v>
      </c>
      <c r="C6" s="10" t="n">
        <f aca="false">C5/C4</f>
        <v>0.18</v>
      </c>
      <c r="D6" s="10" t="n">
        <f aca="false">D5/D4</f>
        <v>0.185</v>
      </c>
      <c r="E6" s="10" t="n">
        <f aca="false">E5/E4</f>
        <v>0.19</v>
      </c>
      <c r="F6" s="10" t="n">
        <f aca="false">F5/F4</f>
        <v>0.19</v>
      </c>
      <c r="G6" s="10" t="n">
        <f aca="false">G5/G4</f>
        <v>0.19</v>
      </c>
    </row>
    <row r="7" customFormat="false" ht="15" hidden="false" customHeight="false" outlineLevel="0" collapsed="false">
      <c r="A7" s="4" t="s">
        <v>96</v>
      </c>
      <c r="B7" s="15" t="n">
        <f aca="false">Historicals!F11</f>
        <v>1026</v>
      </c>
      <c r="C7" s="15" t="n">
        <f aca="false">C4*Assumptions!B6</f>
        <v>968.35536</v>
      </c>
      <c r="D7" s="15" t="n">
        <f aca="false">D4*Assumptions!C6</f>
        <v>1026.4566816</v>
      </c>
      <c r="E7" s="15" t="n">
        <f aca="false">E4*Assumptions!D6</f>
        <v>1098.308649312</v>
      </c>
      <c r="F7" s="15" t="n">
        <f aca="false">F4*Assumptions!E6</f>
        <v>1175.19025476384</v>
      </c>
      <c r="G7" s="15" t="n">
        <f aca="false">G4*Assumptions!F6</f>
        <v>1257.45357259731</v>
      </c>
    </row>
    <row r="8" customFormat="false" ht="15" hidden="false" customHeight="false" outlineLevel="0" collapsed="false">
      <c r="A8" s="3" t="s">
        <v>97</v>
      </c>
      <c r="B8" s="9" t="n">
        <f aca="false">B5-B7</f>
        <v>4981</v>
      </c>
      <c r="C8" s="9" t="n">
        <f aca="false">C5-C7</f>
        <v>5256.78624</v>
      </c>
      <c r="D8" s="9" t="n">
        <f aca="false">D5-D7</f>
        <v>5755.4892504</v>
      </c>
      <c r="E8" s="9" t="n">
        <f aca="false">E5-E7</f>
        <v>6354.500042448</v>
      </c>
      <c r="F8" s="9" t="n">
        <f aca="false">F5-F7</f>
        <v>6799.31504541936</v>
      </c>
      <c r="G8" s="9" t="n">
        <f aca="false">G5-G7</f>
        <v>7275.26709859872</v>
      </c>
    </row>
    <row r="9" customFormat="false" ht="15" hidden="false" customHeight="false" outlineLevel="0" collapsed="false">
      <c r="A9" s="4" t="s">
        <v>98</v>
      </c>
      <c r="C9" s="15" t="n">
        <f aca="false">C8*Assumptions!B9</f>
        <v>1314.19656</v>
      </c>
      <c r="D9" s="15" t="n">
        <f aca="false">D8*Assumptions!C9</f>
        <v>1438.8723126</v>
      </c>
      <c r="E9" s="15" t="n">
        <f aca="false">E8*Assumptions!D9</f>
        <v>1588.625010612</v>
      </c>
      <c r="F9" s="15" t="n">
        <f aca="false">F8*Assumptions!E9</f>
        <v>1699.82876135484</v>
      </c>
      <c r="G9" s="15" t="n">
        <f aca="false">G8*Assumptions!F9</f>
        <v>1818.81677464968</v>
      </c>
    </row>
    <row r="10" customFormat="false" ht="15" hidden="false" customHeight="false" outlineLevel="0" collapsed="false">
      <c r="A10" s="3" t="s">
        <v>99</v>
      </c>
      <c r="C10" s="9" t="n">
        <f aca="false">C8-C9</f>
        <v>3942.58968</v>
      </c>
      <c r="D10" s="9" t="n">
        <f aca="false">D8-D9</f>
        <v>4316.6169378</v>
      </c>
      <c r="E10" s="9" t="n">
        <f aca="false">E8-E9</f>
        <v>4765.875031836</v>
      </c>
      <c r="F10" s="9" t="n">
        <f aca="false">F8-F9</f>
        <v>5099.48628406452</v>
      </c>
      <c r="G10" s="9" t="n">
        <f aca="false">G8-G9</f>
        <v>5456.45032394904</v>
      </c>
    </row>
    <row r="12" customFormat="false" ht="15" hidden="false" customHeight="false" outlineLevel="0" collapsed="false">
      <c r="A12" s="3" t="s">
        <v>100</v>
      </c>
    </row>
    <row r="13" customFormat="false" ht="15" hidden="false" customHeight="false" outlineLevel="0" collapsed="false">
      <c r="A13" s="4" t="s">
        <v>101</v>
      </c>
      <c r="C13" s="15" t="n">
        <f aca="false">C10</f>
        <v>3942.58968</v>
      </c>
      <c r="D13" s="15" t="n">
        <f aca="false">D10</f>
        <v>4316.6169378</v>
      </c>
      <c r="E13" s="15" t="n">
        <f aca="false">E10</f>
        <v>4765.875031836</v>
      </c>
      <c r="F13" s="15" t="n">
        <f aca="false">F10</f>
        <v>5099.48628406452</v>
      </c>
      <c r="G13" s="15" t="n">
        <f aca="false">G10</f>
        <v>5456.45032394904</v>
      </c>
    </row>
    <row r="14" customFormat="false" ht="15" hidden="false" customHeight="false" outlineLevel="0" collapsed="false">
      <c r="A14" s="4" t="s">
        <v>102</v>
      </c>
      <c r="C14" s="15" t="n">
        <f aca="false">C7</f>
        <v>968.35536</v>
      </c>
      <c r="D14" s="15" t="n">
        <f aca="false">D7</f>
        <v>1026.4566816</v>
      </c>
      <c r="E14" s="15" t="n">
        <f aca="false">E7</f>
        <v>1098.308649312</v>
      </c>
      <c r="F14" s="15" t="n">
        <f aca="false">F7</f>
        <v>1175.19025476384</v>
      </c>
      <c r="G14" s="15" t="n">
        <f aca="false">G7</f>
        <v>1257.45357259731</v>
      </c>
    </row>
    <row r="15" customFormat="false" ht="15" hidden="false" customHeight="false" outlineLevel="0" collapsed="false">
      <c r="A15" s="4" t="s">
        <v>103</v>
      </c>
      <c r="C15" s="15" t="n">
        <f aca="false">C4*Assumptions!B7</f>
        <v>1383.3648</v>
      </c>
      <c r="D15" s="15" t="n">
        <f aca="false">D4*Assumptions!C7</f>
        <v>1466.366688</v>
      </c>
      <c r="E15" s="15" t="n">
        <f aca="false">E4*Assumptions!D7</f>
        <v>1490.561738352</v>
      </c>
      <c r="F15" s="15" t="n">
        <f aca="false">F4*Assumptions!E7</f>
        <v>1510.95889898208</v>
      </c>
      <c r="G15" s="15" t="n">
        <f aca="false">G4*Assumptions!F7</f>
        <v>1571.81696574664</v>
      </c>
    </row>
    <row r="16" customFormat="false" ht="15" hidden="false" customHeight="false" outlineLevel="0" collapsed="false">
      <c r="A16" s="4" t="s">
        <v>104</v>
      </c>
      <c r="C16" s="15" t="n">
        <f aca="false">(C4-B4)*Assumptions!B8</f>
        <v>81.3744000000003</v>
      </c>
      <c r="D16" s="15" t="n">
        <f aca="false">(D4-C4)*Assumptions!C8</f>
        <v>249.005664</v>
      </c>
      <c r="E16" s="15" t="n">
        <f aca="false">(E4-D4)*Assumptions!D8</f>
        <v>307.93700448</v>
      </c>
      <c r="F16" s="15" t="n">
        <f aca="false">(F4-E4)*Assumptions!E8</f>
        <v>329.4925947936</v>
      </c>
      <c r="G16" s="15" t="n">
        <f aca="false">(G4-F4)*Assumptions!F8</f>
        <v>352.557076429152</v>
      </c>
    </row>
    <row r="17" customFormat="false" ht="15" hidden="false" customHeight="false" outlineLevel="0" collapsed="false">
      <c r="A17" s="3" t="s">
        <v>105</v>
      </c>
      <c r="C17" s="18" t="n">
        <f aca="false">C13+C14-C15-C16</f>
        <v>3446.20584</v>
      </c>
      <c r="D17" s="18" t="n">
        <f aca="false">D13+D14-D15-D16</f>
        <v>3627.7012674</v>
      </c>
      <c r="E17" s="18" t="n">
        <f aca="false">E13+E14-E15-E16</f>
        <v>4065.684938316</v>
      </c>
      <c r="F17" s="18" t="n">
        <f aca="false">F13+F14-F15-F16</f>
        <v>4434.22504505268</v>
      </c>
      <c r="G17" s="18" t="n">
        <f aca="false">G13+G14-G15-G16</f>
        <v>4789.52985437056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1" t="s">
        <v>106</v>
      </c>
    </row>
    <row r="3" customFormat="false" ht="15" hidden="false" customHeight="false" outlineLevel="0" collapsed="false">
      <c r="A3" s="7" t="s">
        <v>31</v>
      </c>
      <c r="B3" s="7" t="s">
        <v>67</v>
      </c>
      <c r="C3" s="7" t="s">
        <v>68</v>
      </c>
      <c r="D3" s="7" t="s">
        <v>69</v>
      </c>
      <c r="E3" s="7" t="s">
        <v>70</v>
      </c>
      <c r="F3" s="7" t="s">
        <v>71</v>
      </c>
    </row>
    <row r="4" customFormat="false" ht="15" hidden="false" customHeight="false" outlineLevel="0" collapsed="false">
      <c r="A4" s="4" t="s">
        <v>107</v>
      </c>
      <c r="B4" s="19" t="n">
        <v>1</v>
      </c>
      <c r="C4" s="19" t="n">
        <v>2</v>
      </c>
      <c r="D4" s="19" t="n">
        <v>3</v>
      </c>
      <c r="E4" s="19" t="n">
        <v>4</v>
      </c>
      <c r="F4" s="19" t="n">
        <v>5</v>
      </c>
    </row>
    <row r="5" customFormat="false" ht="15" hidden="false" customHeight="false" outlineLevel="0" collapsed="false">
      <c r="A5" s="4" t="s">
        <v>108</v>
      </c>
      <c r="B5" s="15" t="n">
        <f aca="false">Forecast!C17</f>
        <v>3446.20584</v>
      </c>
      <c r="C5" s="15" t="n">
        <f aca="false">Forecast!D17</f>
        <v>3627.7012674</v>
      </c>
      <c r="D5" s="15" t="n">
        <f aca="false">Forecast!E17</f>
        <v>4065.684938316</v>
      </c>
      <c r="E5" s="15" t="n">
        <f aca="false">Forecast!F17</f>
        <v>4434.22504505268</v>
      </c>
      <c r="F5" s="15" t="n">
        <f aca="false">Forecast!G17</f>
        <v>4789.52985437056</v>
      </c>
    </row>
    <row r="6" customFormat="false" ht="15" hidden="false" customHeight="false" outlineLevel="0" collapsed="false">
      <c r="A6" s="4" t="s">
        <v>109</v>
      </c>
      <c r="B6" s="20" t="n">
        <f aca="false">1/(1+Assumptions!$B$23)^B4</f>
        <v>0.897860616719831</v>
      </c>
      <c r="C6" s="20" t="n">
        <f aca="false">1/(1+Assumptions!$B$23)^C4</f>
        <v>0.806153687056516</v>
      </c>
      <c r="D6" s="20" t="n">
        <f aca="false">1/(1+Assumptions!$B$23)^D4</f>
        <v>0.723813646631529</v>
      </c>
      <c r="E6" s="20" t="n">
        <f aca="false">1/(1+Assumptions!$B$23)^E4</f>
        <v>0.649883767154814</v>
      </c>
      <c r="F6" s="20" t="n">
        <f aca="false">1/(1+Assumptions!$B$23)^F4</f>
        <v>0.583505039973829</v>
      </c>
    </row>
    <row r="7" customFormat="false" ht="15" hidden="false" customHeight="false" outlineLevel="0" collapsed="false">
      <c r="A7" s="3" t="s">
        <v>110</v>
      </c>
      <c r="B7" s="9" t="n">
        <f aca="false">B5*B6</f>
        <v>3094.21250084588</v>
      </c>
      <c r="C7" s="9" t="n">
        <f aca="false">C5*C6</f>
        <v>2924.4847522541</v>
      </c>
      <c r="D7" s="9" t="n">
        <f aca="false">D5*D6</f>
        <v>2942.79824125739</v>
      </c>
      <c r="E7" s="9" t="n">
        <f aca="false">E5*E6</f>
        <v>2881.73087669106</v>
      </c>
      <c r="F7" s="9" t="n">
        <f aca="false">F5*F6</f>
        <v>2794.71480913034</v>
      </c>
    </row>
    <row r="9" customFormat="false" ht="15" hidden="false" customHeight="false" outlineLevel="0" collapsed="false">
      <c r="A9" s="3" t="s">
        <v>111</v>
      </c>
      <c r="B9" s="9" t="n">
        <f aca="false">SUM(B7:F7)</f>
        <v>14637.9411801788</v>
      </c>
    </row>
    <row r="11" customFormat="false" ht="15" hidden="false" customHeight="false" outlineLevel="0" collapsed="false">
      <c r="A11" s="3" t="s">
        <v>112</v>
      </c>
    </row>
    <row r="12" customFormat="false" ht="15" hidden="false" customHeight="false" outlineLevel="0" collapsed="false">
      <c r="A12" s="4" t="s">
        <v>113</v>
      </c>
      <c r="B12" s="15" t="n">
        <f aca="false">F5</f>
        <v>4789.52985437056</v>
      </c>
    </row>
    <row r="13" customFormat="false" ht="15" hidden="false" customHeight="false" outlineLevel="0" collapsed="false">
      <c r="A13" s="4" t="s">
        <v>90</v>
      </c>
      <c r="B13" s="10" t="n">
        <f aca="false">Assumptions!B25</f>
        <v>0.05</v>
      </c>
    </row>
    <row r="14" customFormat="false" ht="15" hidden="false" customHeight="false" outlineLevel="0" collapsed="false">
      <c r="A14" s="4" t="s">
        <v>114</v>
      </c>
      <c r="B14" s="15" t="n">
        <f aca="false">B12*(1+B13)</f>
        <v>5029.00634708909</v>
      </c>
    </row>
    <row r="15" customFormat="false" ht="15" hidden="false" customHeight="false" outlineLevel="0" collapsed="false">
      <c r="A15" s="4" t="s">
        <v>115</v>
      </c>
      <c r="B15" s="15" t="n">
        <f aca="false">B14/(Assumptions!B23-B13)</f>
        <v>78875.7108094951</v>
      </c>
    </row>
    <row r="16" customFormat="false" ht="15" hidden="false" customHeight="false" outlineLevel="0" collapsed="false">
      <c r="A16" s="3" t="s">
        <v>116</v>
      </c>
      <c r="B16" s="9" t="n">
        <f aca="false">B15*F6</f>
        <v>46024.3747888586</v>
      </c>
    </row>
    <row r="18" customFormat="false" ht="15" hidden="false" customHeight="false" outlineLevel="0" collapsed="false">
      <c r="A18" s="3" t="s">
        <v>117</v>
      </c>
      <c r="B18" s="21" t="n">
        <f aca="false">B9+B16</f>
        <v>60662.3159690374</v>
      </c>
    </row>
    <row r="19" customFormat="false" ht="15" hidden="false" customHeight="false" outlineLevel="0" collapsed="false">
      <c r="A19" s="4" t="s">
        <v>118</v>
      </c>
      <c r="B19" s="15" t="n">
        <f aca="false">Historicals!F22-Historicals!F26</f>
        <v>-2435</v>
      </c>
    </row>
    <row r="20" customFormat="false" ht="15" hidden="false" customHeight="false" outlineLevel="0" collapsed="false">
      <c r="A20" s="3" t="s">
        <v>119</v>
      </c>
      <c r="B20" s="9" t="n">
        <f aca="false">B18-B19</f>
        <v>63097.3159690374</v>
      </c>
    </row>
    <row r="21" customFormat="false" ht="15" hidden="false" customHeight="false" outlineLevel="0" collapsed="false">
      <c r="A21" s="4" t="s">
        <v>62</v>
      </c>
      <c r="B21" s="22" t="n">
        <f aca="false">Historicals!F35</f>
        <v>97.03</v>
      </c>
    </row>
    <row r="22" customFormat="false" ht="16.15" hidden="false" customHeight="false" outlineLevel="0" collapsed="false">
      <c r="A22" s="3" t="s">
        <v>120</v>
      </c>
      <c r="B22" s="23" t="n">
        <f aca="false">B20/B21</f>
        <v>650.286673905363</v>
      </c>
    </row>
    <row r="24" customFormat="false" ht="15" hidden="false" customHeight="false" outlineLevel="0" collapsed="false">
      <c r="A24" s="4" t="s">
        <v>121</v>
      </c>
      <c r="B24" s="24" t="n">
        <f aca="false">Historicals!F36</f>
        <v>2665</v>
      </c>
    </row>
    <row r="25" customFormat="false" ht="15" hidden="false" customHeight="false" outlineLevel="0" collapsed="false">
      <c r="A25" s="3" t="s">
        <v>122</v>
      </c>
      <c r="B25" s="14" t="n">
        <f aca="false">B22/B24-1</f>
        <v>-0.755989991029883</v>
      </c>
    </row>
    <row r="27" customFormat="false" ht="15" hidden="false" customHeight="false" outlineLevel="0" collapsed="false">
      <c r="A27" s="6" t="s">
        <v>123</v>
      </c>
    </row>
    <row r="28" customFormat="false" ht="15" hidden="false" customHeight="false" outlineLevel="0" collapsed="false">
      <c r="A28" s="6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3"/>
  </cols>
  <sheetData>
    <row r="1" customFormat="false" ht="17.35" hidden="false" customHeight="false" outlineLevel="0" collapsed="false">
      <c r="A1" s="1" t="s">
        <v>125</v>
      </c>
    </row>
    <row r="2" customFormat="false" ht="15" hidden="false" customHeight="false" outlineLevel="0" collapsed="false">
      <c r="A2" s="6" t="s">
        <v>126</v>
      </c>
    </row>
    <row r="4" customFormat="false" ht="15" hidden="false" customHeight="false" outlineLevel="0" collapsed="false">
      <c r="A4" s="3" t="s">
        <v>127</v>
      </c>
      <c r="B4" s="25" t="n">
        <v>0.03</v>
      </c>
      <c r="C4" s="25" t="n">
        <v>0.04</v>
      </c>
      <c r="D4" s="25" t="n">
        <v>0.05</v>
      </c>
      <c r="E4" s="25" t="n">
        <v>0.06</v>
      </c>
      <c r="F4" s="25" t="n">
        <v>0.07</v>
      </c>
    </row>
    <row r="5" customFormat="false" ht="15" hidden="false" customHeight="false" outlineLevel="0" collapsed="false">
      <c r="A5" s="26" t="n">
        <v>0.093</v>
      </c>
      <c r="B5" s="27" t="n">
        <f aca="false">('DCF Valuation'!$B$5/(1+0.093)^1+'DCF Valuation'!$C$5/(1+0.093)^2+'DCF Valuation'!$D$5/(1+0.093)^3+'DCF Valuation'!$E$5/(1+0.093)^4+'DCF Valuation'!$F$5/(1+0.093)^5+('DCF Valuation'!$F$5*(1+B$4)/(0.093-B$4))/(1+0.093)^5-'DCF Valuation'!$B$19)/'DCF Valuation'!$B$21</f>
        <v>701.988029315202</v>
      </c>
      <c r="C5" s="27" t="n">
        <f aca="false">('DCF Valuation'!$B$5/(1+0.093)^1+'DCF Valuation'!$C$5/(1+0.093)^2+'DCF Valuation'!$D$5/(1+0.093)^3+'DCF Valuation'!$E$5/(1+0.093)^4+'DCF Valuation'!$F$5/(1+0.093)^5+('DCF Valuation'!$F$5*(1+C$4)/(0.093-C$4))/(1+0.093)^5-'DCF Valuation'!$B$19)/'DCF Valuation'!$B$21</f>
        <v>805.571339714607</v>
      </c>
      <c r="D5" s="27" t="n">
        <f aca="false">('DCF Valuation'!$B$5/(1+0.093)^1+'DCF Valuation'!$C$5/(1+0.093)^2+'DCF Valuation'!$D$5/(1+0.093)^3+'DCF Valuation'!$E$5/(1+0.093)^4+'DCF Valuation'!$F$5/(1+0.093)^5+('DCF Valuation'!$F$5*(1+D$4)/(0.093-D$4))/(1+0.093)^5-'DCF Valuation'!$B$19)/'DCF Valuation'!$B$21</f>
        <v>957.332934020712</v>
      </c>
      <c r="E5" s="27" t="n">
        <f aca="false">('DCF Valuation'!$B$5/(1+0.093)^1+'DCF Valuation'!$C$5/(1+0.093)^2+'DCF Valuation'!$D$5/(1+0.093)^3+'DCF Valuation'!$E$5/(1+0.093)^4+'DCF Valuation'!$F$5/(1+0.093)^5+('DCF Valuation'!$F$5*(1+E$4)/(0.093-E$4))/(1+0.093)^5-'DCF Valuation'!$B$19)/'DCF Valuation'!$B$21</f>
        <v>1201.0712521487</v>
      </c>
      <c r="F5" s="27" t="n">
        <f aca="false">('DCF Valuation'!$B$5/(1+0.093)^1+'DCF Valuation'!$C$5/(1+0.093)^2+'DCF Valuation'!$D$5/(1+0.093)^3+'DCF Valuation'!$E$5/(1+0.093)^4+'DCF Valuation'!$F$5/(1+0.093)^5+('DCF Valuation'!$F$5*(1+F$4)/(0.093-F$4))/(1+0.093)^5-'DCF Valuation'!$B$19)/'DCF Valuation'!$B$21</f>
        <v>1656.75593386624</v>
      </c>
    </row>
    <row r="6" customFormat="false" ht="15" hidden="false" customHeight="false" outlineLevel="0" collapsed="false">
      <c r="A6" s="26" t="n">
        <v>0.103</v>
      </c>
      <c r="B6" s="27" t="n">
        <f aca="false">('DCF Valuation'!$B$5/(1+0.103)^1+'DCF Valuation'!$C$5/(1+0.103)^2+'DCF Valuation'!$D$5/(1+0.103)^3+'DCF Valuation'!$E$5/(1+0.103)^4+'DCF Valuation'!$F$5/(1+0.103)^5+('DCF Valuation'!$F$5*(1+B$4)/(0.103-B$4))/(1+0.103)^5-'DCF Valuation'!$B$19)/'DCF Valuation'!$B$21</f>
        <v>606.964260097884</v>
      </c>
      <c r="C6" s="27" t="n">
        <f aca="false">('DCF Valuation'!$B$5/(1+0.103)^1+'DCF Valuation'!$C$5/(1+0.103)^2+'DCF Valuation'!$D$5/(1+0.103)^3+'DCF Valuation'!$E$5/(1+0.103)^4+'DCF Valuation'!$F$5/(1+0.103)^5+('DCF Valuation'!$F$5*(1+C$4)/(0.103-C$4))/(1+0.103)^5-'DCF Valuation'!$B$19)/'DCF Valuation'!$B$21</f>
        <v>679.478181909426</v>
      </c>
      <c r="D6" s="27" t="n">
        <f aca="false">('DCF Valuation'!$B$5/(1+0.103)^1+'DCF Valuation'!$C$5/(1+0.103)^2+'DCF Valuation'!$D$5/(1+0.103)^3+'DCF Valuation'!$E$5/(1+0.103)^4+'DCF Valuation'!$F$5/(1+0.103)^5+('DCF Valuation'!$F$5*(1+D$4)/(0.103-D$4))/(1+0.103)^5-'DCF Valuation'!$B$19)/'DCF Valuation'!$B$21</f>
        <v>779.355847800795</v>
      </c>
      <c r="E6" s="27" t="n">
        <f aca="false">('DCF Valuation'!$B$5/(1+0.103)^1+'DCF Valuation'!$C$5/(1+0.103)^2+'DCF Valuation'!$D$5/(1+0.103)^3+'DCF Valuation'!$E$5/(1+0.103)^4+'DCF Valuation'!$F$5/(1+0.103)^5+('DCF Valuation'!$F$5*(1+E$4)/(0.103-E$4))/(1+0.103)^5-'DCF Valuation'!$B$19)/'DCF Valuation'!$B$21</f>
        <v>925.688242013732</v>
      </c>
      <c r="F6" s="27" t="n">
        <f aca="false">('DCF Valuation'!$B$5/(1+0.103)^1+'DCF Valuation'!$C$5/(1+0.103)^2+'DCF Valuation'!$D$5/(1+0.103)^3+'DCF Valuation'!$E$5/(1+0.103)^4+'DCF Valuation'!$F$5/(1+0.103)^5+('DCF Valuation'!$F$5*(1+F$4)/(0.103-F$4))/(1+0.103)^5-'DCF Valuation'!$B$19)/'DCF Valuation'!$B$21</f>
        <v>1160.70693574966</v>
      </c>
    </row>
    <row r="7" customFormat="false" ht="15" hidden="false" customHeight="false" outlineLevel="0" collapsed="false">
      <c r="A7" s="26" t="n">
        <v>0.113</v>
      </c>
      <c r="B7" s="27" t="n">
        <f aca="false">('DCF Valuation'!$B$5/(1+0.113)^1+'DCF Valuation'!$C$5/(1+0.113)^2+'DCF Valuation'!$D$5/(1+0.113)^3+'DCF Valuation'!$E$5/(1+0.113)^4+'DCF Valuation'!$F$5/(1+0.113)^5+('DCF Valuation'!$F$5*(1+B$4)/(0.113-B$4))/(1+0.113)^5-'DCF Valuation'!$B$19)/'DCF Valuation'!$B$21</f>
        <v>534.908971843299</v>
      </c>
      <c r="C7" s="27" t="n">
        <f aca="false">('DCF Valuation'!$B$5/(1+0.113)^1+'DCF Valuation'!$C$5/(1+0.113)^2+'DCF Valuation'!$D$5/(1+0.113)^3+'DCF Valuation'!$E$5/(1+0.113)^4+'DCF Valuation'!$F$5/(1+0.113)^5+('DCF Valuation'!$F$5*(1+C$4)/(0.113-C$4))/(1+0.113)^5-'DCF Valuation'!$B$19)/'DCF Valuation'!$B$21</f>
        <v>587.998057233867</v>
      </c>
      <c r="D7" s="28" t="n">
        <f aca="false">('DCF Valuation'!$B$5/(1+0.113)^1+'DCF Valuation'!$C$5/(1+0.113)^2+'DCF Valuation'!$D$5/(1+0.113)^3+'DCF Valuation'!$E$5/(1+0.113)^4+'DCF Valuation'!$F$5/(1+0.113)^5+('DCF Valuation'!$F$5*(1+D$4)/(0.113-D$4))/(1+0.113)^5-'DCF Valuation'!$B$19)/'DCF Valuation'!$B$21</f>
        <v>657.940820526202</v>
      </c>
      <c r="E7" s="27" t="n">
        <f aca="false">('DCF Valuation'!$B$5/(1+0.113)^1+'DCF Valuation'!$C$5/(1+0.113)^2+'DCF Valuation'!$D$5/(1+0.113)^3+'DCF Valuation'!$E$5/(1+0.113)^4+'DCF Valuation'!$F$5/(1+0.113)^5+('DCF Valuation'!$F$5*(1+E$4)/(0.113-E$4))/(1+0.113)^5-'DCF Valuation'!$B$19)/'DCF Valuation'!$B$21</f>
        <v>754.277079400552</v>
      </c>
      <c r="F7" s="27" t="n">
        <f aca="false">('DCF Valuation'!$B$5/(1+0.113)^1+'DCF Valuation'!$C$5/(1+0.113)^2+'DCF Valuation'!$D$5/(1+0.113)^3+'DCF Valuation'!$E$5/(1+0.113)^4+'DCF Valuation'!$F$5/(1+0.113)^5+('DCF Valuation'!$F$5*(1+F$4)/(0.113-F$4))/(1+0.113)^5-'DCF Valuation'!$B$19)/'DCF Valuation'!$B$21</f>
        <v>895.42090054204</v>
      </c>
    </row>
    <row r="8" customFormat="false" ht="15" hidden="false" customHeight="false" outlineLevel="0" collapsed="false">
      <c r="A8" s="26" t="n">
        <v>0.123</v>
      </c>
      <c r="B8" s="27" t="n">
        <f aca="false">('DCF Valuation'!$B$5/(1+0.123)^1+'DCF Valuation'!$C$5/(1+0.123)^2+'DCF Valuation'!$D$5/(1+0.123)^3+'DCF Valuation'!$E$5/(1+0.123)^4+'DCF Valuation'!$F$5/(1+0.123)^5+('DCF Valuation'!$F$5*(1+B$4)/(0.123-B$4))/(1+0.123)^5-'DCF Valuation'!$B$19)/'DCF Valuation'!$B$21</f>
        <v>478.41008920913</v>
      </c>
      <c r="C8" s="27" t="n">
        <f aca="false">('DCF Valuation'!$B$5/(1+0.123)^1+'DCF Valuation'!$C$5/(1+0.123)^2+'DCF Valuation'!$D$5/(1+0.123)^3+'DCF Valuation'!$E$5/(1+0.123)^4+'DCF Valuation'!$F$5/(1+0.123)^5+('DCF Valuation'!$F$5*(1+C$4)/(0.123-C$4))/(1+0.123)^5-'DCF Valuation'!$B$19)/'DCF Valuation'!$B$21</f>
        <v>518.617562980806</v>
      </c>
      <c r="D8" s="27" t="n">
        <f aca="false">('DCF Valuation'!$B$5/(1+0.123)^1+'DCF Valuation'!$C$5/(1+0.123)^2+'DCF Valuation'!$D$5/(1+0.123)^3+'DCF Valuation'!$E$5/(1+0.123)^4+'DCF Valuation'!$F$5/(1+0.123)^5+('DCF Valuation'!$F$5*(1+D$4)/(0.123-D$4))/(1+0.123)^5-'DCF Valuation'!$B$19)/'DCF Valuation'!$B$21</f>
        <v>569.840782991297</v>
      </c>
      <c r="E8" s="27" t="n">
        <f aca="false">('DCF Valuation'!$B$5/(1+0.123)^1+'DCF Valuation'!$C$5/(1+0.123)^2+'DCF Valuation'!$D$5/(1+0.123)^3+'DCF Valuation'!$E$5/(1+0.123)^4+'DCF Valuation'!$F$5/(1+0.123)^5+('DCF Valuation'!$F$5*(1+E$4)/(0.123-E$4))/(1+0.123)^5-'DCF Valuation'!$B$19)/'DCF Valuation'!$B$21</f>
        <v>637.325342687659</v>
      </c>
      <c r="F8" s="27" t="n">
        <f aca="false">('DCF Valuation'!$B$5/(1+0.123)^1+'DCF Valuation'!$C$5/(1+0.123)^2+'DCF Valuation'!$D$5/(1+0.123)^3+'DCF Valuation'!$E$5/(1+0.123)^4+'DCF Valuation'!$F$5/(1+0.123)^5+('DCF Valuation'!$F$5*(1+F$4)/(0.123-F$4))/(1+0.123)^5-'DCF Valuation'!$B$19)/'DCF Valuation'!$B$21</f>
        <v>730.275773967553</v>
      </c>
    </row>
    <row r="9" customFormat="false" ht="15" hidden="false" customHeight="false" outlineLevel="0" collapsed="false">
      <c r="A9" s="26" t="n">
        <v>0.133</v>
      </c>
      <c r="B9" s="27" t="n">
        <f aca="false">('DCF Valuation'!$B$5/(1+0.133)^1+'DCF Valuation'!$C$5/(1+0.133)^2+'DCF Valuation'!$D$5/(1+0.133)^3+'DCF Valuation'!$E$5/(1+0.133)^4+'DCF Valuation'!$F$5/(1+0.133)^5+('DCF Valuation'!$F$5*(1+B$4)/(0.133-B$4))/(1+0.133)^5-'DCF Valuation'!$B$19)/'DCF Valuation'!$B$21</f>
        <v>432.934156038837</v>
      </c>
      <c r="C9" s="27" t="n">
        <f aca="false">('DCF Valuation'!$B$5/(1+0.133)^1+'DCF Valuation'!$C$5/(1+0.133)^2+'DCF Valuation'!$D$5/(1+0.133)^3+'DCF Valuation'!$E$5/(1+0.133)^4+'DCF Valuation'!$F$5/(1+0.133)^5+('DCF Valuation'!$F$5*(1+C$4)/(0.133-C$4))/(1+0.133)^5-'DCF Valuation'!$B$19)/'DCF Valuation'!$B$21</f>
        <v>464.205535576657</v>
      </c>
      <c r="D9" s="27" t="n">
        <f aca="false">('DCF Valuation'!$B$5/(1+0.133)^1+'DCF Valuation'!$C$5/(1+0.133)^2+'DCF Valuation'!$D$5/(1+0.133)^3+'DCF Valuation'!$E$5/(1+0.133)^4+'DCF Valuation'!$F$5/(1+0.133)^5+('DCF Valuation'!$F$5*(1+D$4)/(0.133-D$4))/(1+0.133)^5-'DCF Valuation'!$B$19)/'DCF Valuation'!$B$21</f>
        <v>503.012187292264</v>
      </c>
      <c r="E9" s="27" t="n">
        <f aca="false">('DCF Valuation'!$B$5/(1+0.133)^1+'DCF Valuation'!$C$5/(1+0.133)^2+'DCF Valuation'!$D$5/(1+0.133)^3+'DCF Valuation'!$E$5/(1+0.133)^4+'DCF Valuation'!$F$5/(1+0.133)^5+('DCF Valuation'!$F$5*(1+E$4)/(0.133-E$4))/(1+0.133)^5-'DCF Valuation'!$B$19)/'DCF Valuation'!$B$21</f>
        <v>552.450798382011</v>
      </c>
      <c r="F9" s="27" t="n">
        <f aca="false">('DCF Valuation'!$B$5/(1+0.133)^1+'DCF Valuation'!$C$5/(1+0.133)^2+'DCF Valuation'!$D$5/(1+0.133)^3+'DCF Valuation'!$E$5/(1+0.133)^4+'DCF Valuation'!$F$5/(1+0.133)^5+('DCF Valuation'!$F$5*(1+F$4)/(0.133-F$4))/(1+0.133)^5-'DCF Valuation'!$B$19)/'DCF Valuation'!$B$21</f>
        <v>617.584206643106</v>
      </c>
    </row>
    <row r="11" customFormat="false" ht="15" hidden="false" customHeight="false" outlineLevel="0" collapsed="false">
      <c r="A11" s="6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C00"/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5"/>
  </cols>
  <sheetData>
    <row r="1" customFormat="false" ht="17.35" hidden="false" customHeight="false" outlineLevel="0" collapsed="false">
      <c r="A1" s="1" t="s">
        <v>129</v>
      </c>
    </row>
    <row r="2" customFormat="false" ht="15" hidden="false" customHeight="false" outlineLevel="0" collapsed="false">
      <c r="A2" s="6" t="s">
        <v>130</v>
      </c>
    </row>
    <row r="4" customFormat="false" ht="15" hidden="false" customHeight="false" outlineLevel="0" collapsed="false">
      <c r="A4" s="7" t="s">
        <v>131</v>
      </c>
      <c r="B4" s="7" t="s">
        <v>132</v>
      </c>
      <c r="C4" s="7" t="s">
        <v>133</v>
      </c>
      <c r="D4" s="7" t="s">
        <v>134</v>
      </c>
      <c r="E4" s="7" t="s">
        <v>135</v>
      </c>
      <c r="F4" s="7" t="s">
        <v>136</v>
      </c>
    </row>
    <row r="5" customFormat="false" ht="15" hidden="false" customHeight="false" outlineLevel="0" collapsed="false">
      <c r="A5" s="3" t="s">
        <v>137</v>
      </c>
      <c r="B5" s="8" t="n">
        <v>254389</v>
      </c>
      <c r="C5" s="8" t="n">
        <v>34696</v>
      </c>
      <c r="D5" s="8" t="n">
        <v>3910</v>
      </c>
      <c r="E5" s="29" t="n">
        <f aca="false">B5/D5</f>
        <v>65.0611253196931</v>
      </c>
      <c r="F5" s="29" t="n">
        <f aca="false">B5/C5</f>
        <v>7.33194028130044</v>
      </c>
    </row>
    <row r="6" customFormat="false" ht="15" hidden="false" customHeight="false" outlineLevel="0" collapsed="false">
      <c r="A6" s="30" t="s">
        <v>138</v>
      </c>
      <c r="B6" s="8" t="n">
        <v>57979</v>
      </c>
      <c r="C6" s="8" t="n">
        <v>11880</v>
      </c>
      <c r="D6" s="8" t="n">
        <v>1128</v>
      </c>
      <c r="E6" s="29" t="n">
        <f aca="false">B6/D6</f>
        <v>51.3998226950355</v>
      </c>
      <c r="F6" s="29" t="n">
        <f aca="false">B6/C6</f>
        <v>4.88038720538721</v>
      </c>
    </row>
    <row r="7" customFormat="false" ht="15" hidden="false" customHeight="false" outlineLevel="0" collapsed="false">
      <c r="A7" s="30" t="s">
        <v>139</v>
      </c>
      <c r="B7" s="8" t="n">
        <v>16461</v>
      </c>
      <c r="C7" s="8" t="n">
        <v>8052</v>
      </c>
      <c r="D7" s="8" t="n">
        <v>576</v>
      </c>
      <c r="E7" s="29" t="n">
        <f aca="false">B7/D7</f>
        <v>28.578125</v>
      </c>
      <c r="F7" s="29" t="n">
        <f aca="false">B7/C7</f>
        <v>2.04433681073025</v>
      </c>
    </row>
    <row r="9" customFormat="false" ht="15" hidden="false" customHeight="false" outlineLevel="0" collapsed="false">
      <c r="A9" s="3" t="s">
        <v>140</v>
      </c>
      <c r="E9" s="31" t="n">
        <f aca="false">AVERAGE(E6:E7)</f>
        <v>39.9889738475177</v>
      </c>
      <c r="F9" s="31" t="n">
        <f aca="false">AVERAGE(F6:F7)</f>
        <v>3.46236200805873</v>
      </c>
    </row>
    <row r="12" customFormat="false" ht="15" hidden="false" customHeight="false" outlineLevel="0" collapsed="false">
      <c r="A12" s="3" t="s">
        <v>141</v>
      </c>
    </row>
    <row r="13" customFormat="false" ht="15" hidden="false" customHeight="false" outlineLevel="0" collapsed="false">
      <c r="A13" s="7" t="s">
        <v>142</v>
      </c>
      <c r="B13" s="7" t="s">
        <v>143</v>
      </c>
      <c r="C13" s="7" t="s">
        <v>144</v>
      </c>
      <c r="D13" s="7" t="s">
        <v>145</v>
      </c>
      <c r="E13" s="7" t="s">
        <v>146</v>
      </c>
    </row>
    <row r="14" customFormat="false" ht="15" hidden="false" customHeight="false" outlineLevel="0" collapsed="false">
      <c r="A14" s="4" t="s">
        <v>147</v>
      </c>
      <c r="B14" s="15" t="n">
        <f aca="false">Historicals!F14</f>
        <v>3725.92</v>
      </c>
      <c r="C14" s="29" t="n">
        <f aca="false">E9</f>
        <v>39.9889738475177</v>
      </c>
      <c r="D14" s="15" t="n">
        <f aca="false">B14*C14</f>
        <v>148995.717437943</v>
      </c>
      <c r="E14" s="24" t="n">
        <f aca="false">D14/Historicals!F35</f>
        <v>1535.5634075847</v>
      </c>
    </row>
    <row r="15" customFormat="false" ht="15" hidden="false" customHeight="false" outlineLevel="0" collapsed="false">
      <c r="A15" s="4" t="s">
        <v>148</v>
      </c>
      <c r="B15" s="15" t="n">
        <f aca="false">Historicals!F5</f>
        <v>33906</v>
      </c>
      <c r="C15" s="29" t="n">
        <f aca="false">F9</f>
        <v>3.46236200805873</v>
      </c>
      <c r="D15" s="15" t="n">
        <f aca="false">B15*C15</f>
        <v>117394.846245239</v>
      </c>
      <c r="E15" s="24" t="n">
        <f aca="false">D15/Historicals!F35</f>
        <v>1209.88195656229</v>
      </c>
    </row>
    <row r="17" customFormat="false" ht="15" hidden="false" customHeight="false" outlineLevel="0" collapsed="false">
      <c r="A17" s="3" t="s">
        <v>149</v>
      </c>
      <c r="B17" s="32" t="n">
        <f aca="false">MIN(E14:E15)</f>
        <v>1209.88195656229</v>
      </c>
      <c r="C17" s="4" t="s">
        <v>150</v>
      </c>
      <c r="D17" s="32" t="n">
        <f aca="false">MAX(E14:E15)</f>
        <v>1535.5634075847</v>
      </c>
    </row>
    <row r="19" customFormat="false" ht="15" hidden="false" customHeight="false" outlineLevel="0" collapsed="false">
      <c r="A19" s="6" t="s">
        <v>151</v>
      </c>
    </row>
    <row r="20" customFormat="false" ht="15" hidden="false" customHeight="false" outlineLevel="0" collapsed="false">
      <c r="A20" s="6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B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153</v>
      </c>
    </row>
    <row r="3" customFormat="false" ht="15" hidden="false" customHeight="false" outlineLevel="0" collapsed="false">
      <c r="A3" s="7" t="s">
        <v>154</v>
      </c>
      <c r="B3" s="7" t="s">
        <v>155</v>
      </c>
    </row>
    <row r="4" customFormat="false" ht="15" hidden="false" customHeight="false" outlineLevel="0" collapsed="false">
      <c r="A4" s="4" t="s">
        <v>156</v>
      </c>
      <c r="B4" s="24" t="n">
        <f aca="false">'DCF Valuation'!B24</f>
        <v>2665</v>
      </c>
    </row>
    <row r="5" customFormat="false" ht="15" hidden="false" customHeight="false" outlineLevel="0" collapsed="false">
      <c r="A5" s="4" t="s">
        <v>157</v>
      </c>
      <c r="B5" s="33" t="n">
        <f aca="false">'DCF Valuation'!B22</f>
        <v>650.286673905363</v>
      </c>
    </row>
    <row r="6" customFormat="false" ht="15" hidden="false" customHeight="false" outlineLevel="0" collapsed="false">
      <c r="A6" s="4" t="s">
        <v>158</v>
      </c>
      <c r="B6" s="16" t="n">
        <f aca="false">'DCF Valuation'!B25</f>
        <v>-0.755989991029883</v>
      </c>
    </row>
    <row r="7" customFormat="false" ht="15" hidden="false" customHeight="false" outlineLevel="0" collapsed="false">
      <c r="A7" s="4" t="s">
        <v>159</v>
      </c>
      <c r="B7" s="24" t="n">
        <f aca="false">Comps!B17</f>
        <v>1209.88195656229</v>
      </c>
    </row>
    <row r="8" customFormat="false" ht="15" hidden="false" customHeight="false" outlineLevel="0" collapsed="false">
      <c r="A8" s="4" t="s">
        <v>160</v>
      </c>
      <c r="B8" s="24" t="n">
        <f aca="false">Comps!D17</f>
        <v>1535.5634075847</v>
      </c>
    </row>
    <row r="9" customFormat="false" ht="15" hidden="false" customHeight="false" outlineLevel="0" collapsed="false">
      <c r="A9" s="4" t="s">
        <v>161</v>
      </c>
      <c r="B9" s="10" t="n">
        <f aca="false">Assumptions!B23</f>
        <v>0.113758618407071</v>
      </c>
    </row>
    <row r="10" customFormat="false" ht="15" hidden="false" customHeight="false" outlineLevel="0" collapsed="false">
      <c r="A10" s="4" t="s">
        <v>162</v>
      </c>
      <c r="B10" s="10" t="n">
        <f aca="false">Assumptions!B25</f>
        <v>0.05</v>
      </c>
    </row>
    <row r="12" customFormat="false" ht="15" hidden="false" customHeight="false" outlineLevel="0" collapsed="false">
      <c r="A12" s="34" t="s">
        <v>163</v>
      </c>
    </row>
    <row r="13" customFormat="false" ht="15" hidden="false" customHeight="false" outlineLevel="0" collapsed="false">
      <c r="A13" s="2" t="s">
        <v>164</v>
      </c>
    </row>
    <row r="14" customFormat="false" ht="15" hidden="false" customHeight="false" outlineLevel="0" collapsed="false">
      <c r="A14" s="2" t="s">
        <v>165</v>
      </c>
    </row>
    <row r="15" customFormat="false" ht="15" hidden="false" customHeight="false" outlineLevel="0" collapsed="false">
      <c r="A15" s="2" t="s">
        <v>166</v>
      </c>
    </row>
    <row r="16" customFormat="false" ht="15" hidden="false" customHeight="false" outlineLevel="0" collapsed="false">
      <c r="A16" s="4"/>
    </row>
    <row r="17" customFormat="false" ht="15" hidden="false" customHeight="false" outlineLevel="0" collapsed="false">
      <c r="A17" s="2" t="s">
        <v>167</v>
      </c>
    </row>
    <row r="18" customFormat="false" ht="15" hidden="false" customHeight="false" outlineLevel="0" collapsed="false">
      <c r="A18" s="2" t="s">
        <v>168</v>
      </c>
    </row>
    <row r="19" customFormat="false" ht="15" hidden="false" customHeight="false" outlineLevel="0" collapsed="false">
      <c r="A19" s="2" t="s">
        <v>169</v>
      </c>
    </row>
    <row r="20" customFormat="false" ht="15" hidden="false" customHeight="false" outlineLevel="0" collapsed="false">
      <c r="A20" s="2" t="s">
        <v>170</v>
      </c>
    </row>
    <row r="21" customFormat="false" ht="15" hidden="false" customHeight="false" outlineLevel="0" collapsed="false">
      <c r="A21" s="2" t="s">
        <v>171</v>
      </c>
    </row>
    <row r="22" customFormat="false" ht="15" hidden="false" customHeight="false" outlineLevel="0" collapsed="false">
      <c r="A22" s="4"/>
    </row>
    <row r="23" customFormat="false" ht="15" hidden="false" customHeight="false" outlineLevel="0" collapsed="false">
      <c r="A23" s="2" t="s">
        <v>172</v>
      </c>
    </row>
    <row r="24" customFormat="false" ht="15" hidden="false" customHeight="false" outlineLevel="0" collapsed="false">
      <c r="A24" s="2" t="s">
        <v>173</v>
      </c>
    </row>
    <row r="25" customFormat="false" ht="15" hidden="false" customHeight="false" outlineLevel="0" collapsed="false">
      <c r="A25" s="2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2026-07-16T07:40:07Z</dcterms:created>
  <dc:creator>openpyxl</dc:creator>
  <dc:description/>
  <dc:language>en-US</dc:language>
  <cp:lastModifiedBy/>
  <dcterms:modified xsi:type="dcterms:W3CDTF">2026-07-16T07:40:07Z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